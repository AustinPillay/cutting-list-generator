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minimized="1" xWindow="0" yWindow="0" windowWidth="19200" windowHeight="6930" activeTab="3"/>
  </bookViews>
  <sheets>
    <sheet name="CUTTING LIST" sheetId="1" r:id="rId1"/>
    <sheet name="Sheet1" sheetId="5" r:id="rId2"/>
    <sheet name="LIST" sheetId="4" r:id="rId3"/>
    <sheet name="QUOTATIONS" sheetId="2" r:id="rId4"/>
    <sheet name="LABOUR CALCULATIONS" sheetId="3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4" i="2" l="1"/>
  <c r="F74" i="2"/>
  <c r="E17" i="2"/>
  <c r="E18" i="2"/>
  <c r="E19" i="2"/>
  <c r="E20" i="2"/>
  <c r="E21" i="2"/>
  <c r="E22" i="2"/>
  <c r="E16" i="2"/>
  <c r="E15" i="2"/>
  <c r="C23" i="2"/>
  <c r="E23" i="2" s="1"/>
  <c r="G11" i="2"/>
  <c r="G10" i="2"/>
  <c r="H10" i="2" s="1"/>
  <c r="C3" i="2"/>
  <c r="G9" i="2"/>
  <c r="H9" i="2" s="1"/>
  <c r="F33" i="1"/>
  <c r="F30" i="1"/>
  <c r="E30" i="1"/>
  <c r="L30" i="1" s="1"/>
  <c r="D23" i="1"/>
  <c r="D31" i="1" s="1"/>
  <c r="E24" i="2" l="1"/>
  <c r="H11" i="2"/>
  <c r="H12" i="2" s="1"/>
  <c r="D33" i="1"/>
  <c r="L33" i="1" s="1"/>
  <c r="H23" i="1"/>
  <c r="K46" i="1"/>
  <c r="F39" i="1"/>
  <c r="F50" i="1" s="1"/>
  <c r="J50" i="1" s="1"/>
  <c r="D50" i="1"/>
  <c r="H50" i="1" s="1"/>
  <c r="D49" i="1"/>
  <c r="H49" i="1" s="1"/>
  <c r="E48" i="1"/>
  <c r="J48" i="1" s="1"/>
  <c r="D48" i="1"/>
  <c r="H48" i="1" s="1"/>
  <c r="F47" i="1"/>
  <c r="J47" i="1" s="1"/>
  <c r="E47" i="1"/>
  <c r="H47" i="1" s="1"/>
  <c r="D46" i="1"/>
  <c r="J43" i="1"/>
  <c r="D43" i="1"/>
  <c r="H43" i="1" s="1"/>
  <c r="E42" i="1"/>
  <c r="J42" i="1" s="1"/>
  <c r="D42" i="1"/>
  <c r="H42" i="1" s="1"/>
  <c r="E41" i="1"/>
  <c r="H41" i="1" s="1"/>
  <c r="D9" i="1"/>
  <c r="J33" i="1"/>
  <c r="K29" i="1"/>
  <c r="H29" i="1" s="1"/>
  <c r="J24" i="1"/>
  <c r="E35" i="1"/>
  <c r="D35" i="1"/>
  <c r="E31" i="1"/>
  <c r="J31" i="1" s="1"/>
  <c r="J30" i="1"/>
  <c r="H30" i="1"/>
  <c r="E23" i="1"/>
  <c r="J23" i="1" s="1"/>
  <c r="D32" i="1"/>
  <c r="H32" i="1" s="1"/>
  <c r="D29" i="1"/>
  <c r="E22" i="1"/>
  <c r="H33" i="1" l="1"/>
  <c r="H22" i="1"/>
  <c r="L22" i="1"/>
  <c r="L23" i="1"/>
  <c r="L31" i="1"/>
  <c r="H46" i="1"/>
  <c r="H31" i="1"/>
  <c r="D24" i="1"/>
  <c r="H24" i="1" s="1"/>
  <c r="F46" i="1"/>
  <c r="J46" i="1" s="1"/>
  <c r="F41" i="1"/>
  <c r="J41" i="1" s="1"/>
  <c r="F49" i="1"/>
  <c r="J49" i="1" s="1"/>
  <c r="F29" i="1"/>
  <c r="J29" i="1" s="1"/>
  <c r="F22" i="1"/>
  <c r="J22" i="1" s="1"/>
  <c r="F32" i="1"/>
  <c r="J32" i="1" s="1"/>
</calcChain>
</file>

<file path=xl/sharedStrings.xml><?xml version="1.0" encoding="utf-8"?>
<sst xmlns="http://schemas.openxmlformats.org/spreadsheetml/2006/main" count="185" uniqueCount="117">
  <si>
    <t xml:space="preserve">CUTTING LIST </t>
  </si>
  <si>
    <t xml:space="preserve">SIDES </t>
  </si>
  <si>
    <t>BASE</t>
  </si>
  <si>
    <t>RAILS</t>
  </si>
  <si>
    <t>END PANELS</t>
  </si>
  <si>
    <t>DOORS</t>
  </si>
  <si>
    <t>SHELF</t>
  </si>
  <si>
    <t>MASONITE</t>
  </si>
  <si>
    <t>BACK BOARD</t>
  </si>
  <si>
    <t>LENGTH</t>
  </si>
  <si>
    <t>DEPTH</t>
  </si>
  <si>
    <t>HEIGHT</t>
  </si>
  <si>
    <t xml:space="preserve">NUMBER OF </t>
  </si>
  <si>
    <t>CABINET SIZE</t>
  </si>
  <si>
    <t>COUNTER TOPS</t>
  </si>
  <si>
    <t>SIZE OF PANEL</t>
  </si>
  <si>
    <t>x</t>
  </si>
  <si>
    <t>CABINET TYPE</t>
  </si>
  <si>
    <t>BASE UNIT</t>
  </si>
  <si>
    <t>ROOM DESCRIPTION</t>
  </si>
  <si>
    <t>CEILING HEIGHT</t>
  </si>
  <si>
    <t>BASE UNIT HEIGHT</t>
  </si>
  <si>
    <t>COUNTER TOP THICKNESS</t>
  </si>
  <si>
    <t>WALL SPACE</t>
  </si>
  <si>
    <t>WALL UNIT HEIGHT</t>
  </si>
  <si>
    <t>DRAWER HEIGHT</t>
  </si>
  <si>
    <t>BASE UNIT DEPTH</t>
  </si>
  <si>
    <t>WALL UNIT DEPTH</t>
  </si>
  <si>
    <t>SCRIBE TO CEILING</t>
  </si>
  <si>
    <t>W</t>
  </si>
  <si>
    <t>H</t>
  </si>
  <si>
    <t>PLINTH HEIGHT</t>
  </si>
  <si>
    <t>CUPBOARD FINISH HEIGHT</t>
  </si>
  <si>
    <t>WALL UNIT TO CEILING</t>
  </si>
  <si>
    <t>WALL UNIT</t>
  </si>
  <si>
    <t>BASE AND TOP</t>
  </si>
  <si>
    <t>MATERIAL</t>
  </si>
  <si>
    <t>COLOR</t>
  </si>
  <si>
    <t>Y</t>
  </si>
  <si>
    <t>SEEN SIDE</t>
  </si>
  <si>
    <t>BOTH</t>
  </si>
  <si>
    <t xml:space="preserve">NONE </t>
  </si>
  <si>
    <t>ONE SIDE</t>
  </si>
  <si>
    <t>EDGING</t>
  </si>
  <si>
    <t xml:space="preserve"> </t>
  </si>
  <si>
    <t>QUOTATIONS</t>
  </si>
  <si>
    <t>METERAGE</t>
  </si>
  <si>
    <t>TALL</t>
  </si>
  <si>
    <t xml:space="preserve">WHITE </t>
  </si>
  <si>
    <t>PLY</t>
  </si>
  <si>
    <t>MELAPLY</t>
  </si>
  <si>
    <t>HARDWARE</t>
  </si>
  <si>
    <t>LABOUR</t>
  </si>
  <si>
    <t xml:space="preserve">TRAVEL </t>
  </si>
  <si>
    <t>PROFIT</t>
  </si>
  <si>
    <t>TOPS</t>
  </si>
  <si>
    <t>SPLASHBACKS</t>
  </si>
  <si>
    <t>NOOK</t>
  </si>
  <si>
    <t>WATERFALLS</t>
  </si>
  <si>
    <t>CLADDINGS</t>
  </si>
  <si>
    <t>WINDOW SILLS</t>
  </si>
  <si>
    <t>LABOUR CALCULATIONS</t>
  </si>
  <si>
    <t>DAYS</t>
  </si>
  <si>
    <t>HOURLY RATE</t>
  </si>
  <si>
    <t>TRAVEL</t>
  </si>
  <si>
    <t>TAXES</t>
  </si>
  <si>
    <t>THICKNESS</t>
  </si>
  <si>
    <t>1 L</t>
  </si>
  <si>
    <t>EAR</t>
  </si>
  <si>
    <t># OF CUPBOARDS</t>
  </si>
  <si>
    <t xml:space="preserve">DEPTH </t>
  </si>
  <si>
    <t>AREA OF CUPBOARDS</t>
  </si>
  <si>
    <t># OF SHEETS</t>
  </si>
  <si>
    <t xml:space="preserve">SHEET SIZE </t>
  </si>
  <si>
    <t>X</t>
  </si>
  <si>
    <t>AREA OF SHEET</t>
  </si>
  <si>
    <t xml:space="preserve">NUMBER OF SHEETS </t>
  </si>
  <si>
    <t>COST OF MATERIAL</t>
  </si>
  <si>
    <t>WALL/ FRIDGE/ MICRO</t>
  </si>
  <si>
    <t>PRICE/SHEET</t>
  </si>
  <si>
    <t>MELAMINE</t>
  </si>
  <si>
    <t>GLOSS</t>
  </si>
  <si>
    <t>MATTE</t>
  </si>
  <si>
    <t>DURA</t>
  </si>
  <si>
    <t>TOTAL # OF SHEETS</t>
  </si>
  <si>
    <t>BOARD COST</t>
  </si>
  <si>
    <t>MITERS</t>
  </si>
  <si>
    <t>SHEET SIZE</t>
  </si>
  <si>
    <t>AREA</t>
  </si>
  <si>
    <t>SHIMMER</t>
  </si>
  <si>
    <t>PRICE/SQUARE</t>
  </si>
  <si>
    <t>SLAB COST + VAT</t>
  </si>
  <si>
    <t>LINEAR METER</t>
  </si>
  <si>
    <t>PROFIT MARJIN (%)</t>
  </si>
  <si>
    <t>VAT (%)</t>
  </si>
  <si>
    <t>CONSUMABLES</t>
  </si>
  <si>
    <t>SILICON</t>
  </si>
  <si>
    <t>ACRYLIC</t>
  </si>
  <si>
    <t>STRONG SILICON</t>
  </si>
  <si>
    <t>CONTACT ASHESIVE</t>
  </si>
  <si>
    <t xml:space="preserve">SLIDING DOOR </t>
  </si>
  <si>
    <t xml:space="preserve">GOLA </t>
  </si>
  <si>
    <t>HINGES SOFT CLOSE 200</t>
  </si>
  <si>
    <t>HINGES NORMAL 200</t>
  </si>
  <si>
    <t>RUNNERS 600MM</t>
  </si>
  <si>
    <t>HANDLES 196MM</t>
  </si>
  <si>
    <t>ALUMINIUM DOOR</t>
  </si>
  <si>
    <t>BOX OF 200</t>
  </si>
  <si>
    <t>EACH</t>
  </si>
  <si>
    <t>3M LENGTH</t>
  </si>
  <si>
    <t>CLIENT</t>
  </si>
  <si>
    <t>ADDRESS</t>
  </si>
  <si>
    <t>DATE</t>
  </si>
  <si>
    <t>PANEL TYPE</t>
  </si>
  <si>
    <t xml:space="preserve">CUPBOARD TYPE </t>
  </si>
  <si>
    <t>SINK CUPBOARD</t>
  </si>
  <si>
    <t>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</si>
</sst>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6"/>
      <color theme="1"/>
      <name val="Century Gothic"/>
      <family val="2"/>
    </font>
    <font>
      <sz val="14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2" fillId="0" borderId="0" xfId="0" applyFont="1"/>
    <xf numFmtId="0" fontId="1" fillId="0" borderId="0" xfId="0" applyFont="1" applyBorder="1"/>
    <xf numFmtId="0" fontId="0" fillId="0" borderId="3" xfId="0" applyBorder="1"/>
    <xf numFmtId="0" fontId="0" fillId="0" borderId="4" xfId="0" applyBorder="1"/>
    <xf numFmtId="0" fontId="2" fillId="4" borderId="0" xfId="0" applyFont="1" applyFill="1"/>
    <xf numFmtId="0" fontId="0" fillId="0" borderId="7" xfId="0" applyBorder="1"/>
    <xf numFmtId="0" fontId="0" fillId="0" borderId="0" xfId="0" applyBorder="1" applyAlignment="1">
      <alignment horizontal="center"/>
    </xf>
    <xf numFmtId="0" fontId="1" fillId="0" borderId="11" xfId="0" applyFont="1" applyBorder="1"/>
    <xf numFmtId="0" fontId="0" fillId="3" borderId="6" xfId="0" applyFill="1" applyBorder="1"/>
    <xf numFmtId="0" fontId="0" fillId="0" borderId="12" xfId="0" applyBorder="1"/>
    <xf numFmtId="0" fontId="0" fillId="0" borderId="6" xfId="0" applyBorder="1"/>
    <xf numFmtId="0" fontId="1" fillId="0" borderId="13" xfId="0" applyFont="1" applyBorder="1"/>
    <xf numFmtId="0" fontId="0" fillId="0" borderId="0" xfId="0" applyBorder="1"/>
    <xf numFmtId="0" fontId="1" fillId="0" borderId="14" xfId="0" applyFont="1" applyBorder="1"/>
    <xf numFmtId="0" fontId="0" fillId="0" borderId="15" xfId="0" applyBorder="1"/>
    <xf numFmtId="0" fontId="0" fillId="0" borderId="16" xfId="0" applyBorder="1"/>
    <xf numFmtId="0" fontId="1" fillId="0" borderId="17" xfId="0" applyFont="1" applyBorder="1"/>
    <xf numFmtId="0" fontId="0" fillId="0" borderId="19" xfId="0" applyBorder="1"/>
    <xf numFmtId="0" fontId="0" fillId="3" borderId="8" xfId="0" applyFill="1" applyBorder="1"/>
    <xf numFmtId="0" fontId="0" fillId="3" borderId="10" xfId="0" applyFill="1" applyBorder="1"/>
    <xf numFmtId="0" fontId="1" fillId="4" borderId="2" xfId="0" applyFont="1" applyFill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 applyAlignment="1">
      <alignment horizontal="center"/>
    </xf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14" xfId="0" applyBorder="1"/>
    <xf numFmtId="0" fontId="0" fillId="0" borderId="27" xfId="0" applyBorder="1" applyAlignment="1">
      <alignment horizontal="center"/>
    </xf>
    <xf numFmtId="0" fontId="0" fillId="0" borderId="28" xfId="0" applyBorder="1"/>
    <xf numFmtId="0" fontId="0" fillId="0" borderId="23" xfId="0" applyBorder="1"/>
    <xf numFmtId="0" fontId="0" fillId="0" borderId="27" xfId="0" applyBorder="1"/>
    <xf numFmtId="0" fontId="2" fillId="0" borderId="29" xfId="0" applyFont="1" applyBorder="1"/>
    <xf numFmtId="0" fontId="0" fillId="0" borderId="0" xfId="0" applyFill="1" applyBorder="1"/>
    <xf numFmtId="0" fontId="1" fillId="0" borderId="0" xfId="0" applyFont="1" applyFill="1"/>
    <xf numFmtId="0" fontId="1" fillId="5" borderId="0" xfId="0" applyFont="1" applyFill="1"/>
    <xf numFmtId="0" fontId="2" fillId="0" borderId="0" xfId="0" applyFont="1" applyFill="1" applyBorder="1"/>
    <xf numFmtId="0" fontId="1" fillId="0" borderId="0" xfId="0" applyFont="1" applyFill="1" applyBorder="1"/>
    <xf numFmtId="0" fontId="1" fillId="0" borderId="5" xfId="0" applyFont="1" applyFill="1" applyBorder="1"/>
    <xf numFmtId="0" fontId="0" fillId="6" borderId="1" xfId="0" applyFont="1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23" xfId="0" applyFill="1" applyBorder="1" applyAlignment="1">
      <alignment horizontal="center"/>
    </xf>
    <xf numFmtId="0" fontId="0" fillId="7" borderId="23" xfId="0" applyFill="1" applyBorder="1"/>
    <xf numFmtId="0" fontId="0" fillId="7" borderId="25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0" fontId="0" fillId="7" borderId="14" xfId="0" applyFill="1" applyBorder="1"/>
    <xf numFmtId="0" fontId="0" fillId="7" borderId="27" xfId="0" applyFill="1" applyBorder="1" applyAlignment="1">
      <alignment horizontal="center"/>
    </xf>
    <xf numFmtId="0" fontId="0" fillId="7" borderId="27" xfId="0" applyFill="1" applyBorder="1"/>
    <xf numFmtId="0" fontId="2" fillId="0" borderId="21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8" borderId="19" xfId="0" applyFill="1" applyBorder="1"/>
    <xf numFmtId="0" fontId="0" fillId="8" borderId="6" xfId="0" applyFill="1" applyBorder="1"/>
    <xf numFmtId="0" fontId="0" fillId="8" borderId="15" xfId="0" applyFill="1" applyBorder="1"/>
    <xf numFmtId="0" fontId="0" fillId="8" borderId="1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1" xfId="0" applyFill="1" applyBorder="1"/>
    <xf numFmtId="0" fontId="2" fillId="8" borderId="22" xfId="0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1" xfId="0" applyFill="1" applyBorder="1"/>
    <xf numFmtId="0" fontId="0" fillId="9" borderId="23" xfId="0" applyFill="1" applyBorder="1" applyAlignment="1">
      <alignment horizontal="center"/>
    </xf>
    <xf numFmtId="0" fontId="0" fillId="9" borderId="23" xfId="0" applyFill="1" applyBorder="1"/>
    <xf numFmtId="0" fontId="0" fillId="9" borderId="25" xfId="0" applyFill="1" applyBorder="1"/>
    <xf numFmtId="0" fontId="0" fillId="0" borderId="26" xfId="0" applyFill="1" applyBorder="1" applyAlignment="1">
      <alignment horizontal="center"/>
    </xf>
    <xf numFmtId="0" fontId="0" fillId="10" borderId="25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2" fontId="0" fillId="0" borderId="0" xfId="0" applyNumberFormat="1"/>
    <xf numFmtId="0" fontId="0" fillId="0" borderId="0" xfId="0" applyFont="1" applyAlignment="1">
      <alignment wrapText="1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" fillId="0" borderId="30" xfId="0" applyFont="1" applyBorder="1"/>
    <xf numFmtId="2" fontId="1" fillId="0" borderId="30" xfId="0" applyNumberFormat="1" applyFont="1" applyBorder="1"/>
    <xf numFmtId="164" fontId="0" fillId="0" borderId="0" xfId="0" applyNumberFormat="1"/>
    <xf numFmtId="0" fontId="2" fillId="0" borderId="21" xfId="0" applyFont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center"/>
    </xf>
    <xf numFmtId="0" fontId="0" fillId="0" borderId="0" xfId="0" quotePrefix="1"/>
    <xf numFmtId="0" fontId="2" fillId="0" borderId="0" xfId="0" applyFont="1" applyFill="1"/>
    <xf numFmtId="0" fontId="0" fillId="11" borderId="0" xfId="0" applyFill="1"/>
    <xf numFmtId="0" fontId="0" fillId="12" borderId="31" xfId="0" applyFill="1" applyBorder="1"/>
    <xf numFmtId="0" fontId="0" fillId="0" borderId="32" xfId="0" applyBorder="1"/>
    <xf numFmtId="0" fontId="2" fillId="0" borderId="21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181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fmlaLink="$C$10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7</xdr:row>
          <xdr:rowOff>165100</xdr:rowOff>
        </xdr:from>
        <xdr:to>
          <xdr:col>3</xdr:col>
          <xdr:colOff>69850</xdr:colOff>
          <xdr:row>9</xdr:row>
          <xdr:rowOff>12700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White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7</xdr:row>
          <xdr:rowOff>165100</xdr:rowOff>
        </xdr:from>
        <xdr:to>
          <xdr:col>4</xdr:col>
          <xdr:colOff>228600</xdr:colOff>
          <xdr:row>9</xdr:row>
          <xdr:rowOff>12700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Melamine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7</xdr:row>
          <xdr:rowOff>165100</xdr:rowOff>
        </xdr:from>
        <xdr:to>
          <xdr:col>6</xdr:col>
          <xdr:colOff>139700</xdr:colOff>
          <xdr:row>9</xdr:row>
          <xdr:rowOff>12700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Color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7</xdr:row>
          <xdr:rowOff>165100</xdr:rowOff>
        </xdr:from>
        <xdr:to>
          <xdr:col>6</xdr:col>
          <xdr:colOff>946150</xdr:colOff>
          <xdr:row>9</xdr:row>
          <xdr:rowOff>12700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Melaply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52"/>
  <sheetViews>
    <sheetView topLeftCell="A16" workbookViewId="0">
      <selection activeCell="C57" sqref="C57"/>
    </sheetView>
  </sheetViews>
  <sheetFormatPr defaultRowHeight="14.5" x14ac:dyDescent="0.35"/>
  <cols>
    <col min="2" max="3" width="13.7265625" bestFit="1" customWidth="1"/>
    <col min="5" max="5" width="10.6328125" bestFit="1" customWidth="1"/>
    <col min="7" max="7" width="10.7265625" bestFit="1" customWidth="1"/>
    <col min="8" max="8" width="7" customWidth="1"/>
    <col min="9" max="9" width="2.90625" customWidth="1"/>
    <col min="10" max="10" width="7" customWidth="1"/>
    <col min="11" max="11" width="12.54296875" style="1" bestFit="1" customWidth="1"/>
    <col min="12" max="12" width="10.36328125" style="1" bestFit="1" customWidth="1"/>
  </cols>
  <sheetData>
    <row r="2" spans="2:4" x14ac:dyDescent="0.35">
      <c r="B2" t="s">
        <v>19</v>
      </c>
    </row>
    <row r="3" spans="2:4" x14ac:dyDescent="0.35">
      <c r="B3" t="s">
        <v>20</v>
      </c>
      <c r="D3">
        <v>2700</v>
      </c>
    </row>
    <row r="4" spans="2:4" x14ac:dyDescent="0.35">
      <c r="B4" t="s">
        <v>32</v>
      </c>
      <c r="D4">
        <v>2200</v>
      </c>
    </row>
    <row r="5" spans="2:4" x14ac:dyDescent="0.35">
      <c r="B5" t="s">
        <v>21</v>
      </c>
      <c r="D5">
        <v>860</v>
      </c>
    </row>
    <row r="6" spans="2:4" x14ac:dyDescent="0.35">
      <c r="B6" t="s">
        <v>22</v>
      </c>
      <c r="D6">
        <v>20</v>
      </c>
    </row>
    <row r="7" spans="2:4" x14ac:dyDescent="0.35">
      <c r="B7" t="s">
        <v>31</v>
      </c>
      <c r="D7">
        <v>150</v>
      </c>
    </row>
    <row r="8" spans="2:4" x14ac:dyDescent="0.35">
      <c r="B8" t="s">
        <v>23</v>
      </c>
      <c r="D8">
        <v>600</v>
      </c>
    </row>
    <row r="9" spans="2:4" x14ac:dyDescent="0.35">
      <c r="B9" t="s">
        <v>24</v>
      </c>
      <c r="D9">
        <f>D3-(D5+D6+D8-D10)</f>
        <v>1370</v>
      </c>
    </row>
    <row r="10" spans="2:4" x14ac:dyDescent="0.35">
      <c r="B10" t="s">
        <v>33</v>
      </c>
      <c r="D10">
        <v>150</v>
      </c>
    </row>
    <row r="11" spans="2:4" x14ac:dyDescent="0.35">
      <c r="B11" t="s">
        <v>25</v>
      </c>
    </row>
    <row r="12" spans="2:4" x14ac:dyDescent="0.35">
      <c r="B12" t="s">
        <v>26</v>
      </c>
      <c r="D12">
        <v>560</v>
      </c>
    </row>
    <row r="13" spans="2:4" x14ac:dyDescent="0.35">
      <c r="B13" t="s">
        <v>27</v>
      </c>
      <c r="D13">
        <v>300</v>
      </c>
    </row>
    <row r="14" spans="2:4" x14ac:dyDescent="0.35">
      <c r="B14" t="s">
        <v>28</v>
      </c>
    </row>
    <row r="18" spans="2:16" ht="20" thickBot="1" x14ac:dyDescent="0.4">
      <c r="B18" s="98" t="s">
        <v>0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</row>
    <row r="19" spans="2:16" ht="16" thickBot="1" x14ac:dyDescent="0.4">
      <c r="B19" s="25" t="s">
        <v>17</v>
      </c>
      <c r="C19" s="26"/>
      <c r="D19" s="26" t="s">
        <v>9</v>
      </c>
      <c r="E19" s="26" t="s">
        <v>10</v>
      </c>
      <c r="F19" s="26" t="s">
        <v>11</v>
      </c>
      <c r="G19" s="26" t="s">
        <v>66</v>
      </c>
      <c r="H19" s="97" t="s">
        <v>15</v>
      </c>
      <c r="I19" s="97"/>
      <c r="J19" s="97"/>
      <c r="K19" s="58" t="s">
        <v>12</v>
      </c>
      <c r="L19" s="70" t="s">
        <v>43</v>
      </c>
    </row>
    <row r="20" spans="2:16" ht="15.5" x14ac:dyDescent="0.35">
      <c r="C20" s="24" t="s">
        <v>13</v>
      </c>
      <c r="D20" s="8">
        <v>1000</v>
      </c>
      <c r="E20" s="8">
        <v>560</v>
      </c>
      <c r="F20" s="8">
        <v>730</v>
      </c>
      <c r="G20" s="8">
        <v>16</v>
      </c>
    </row>
    <row r="21" spans="2:16" ht="16" thickBot="1" x14ac:dyDescent="0.4">
      <c r="B21" s="43" t="s">
        <v>18</v>
      </c>
      <c r="C21" s="5"/>
      <c r="D21" s="4"/>
      <c r="E21" s="4" t="s">
        <v>44</v>
      </c>
      <c r="F21" s="4"/>
      <c r="H21" s="1" t="s">
        <v>29</v>
      </c>
      <c r="J21" s="1" t="s">
        <v>30</v>
      </c>
    </row>
    <row r="22" spans="2:16" ht="15" thickBot="1" x14ac:dyDescent="0.4">
      <c r="C22" s="11" t="s">
        <v>1</v>
      </c>
      <c r="D22" s="66"/>
      <c r="E22" s="13">
        <f>E20</f>
        <v>560</v>
      </c>
      <c r="F22" s="62">
        <f>F20</f>
        <v>730</v>
      </c>
      <c r="G22" s="11" t="s">
        <v>1</v>
      </c>
      <c r="H22" s="49">
        <f>E22</f>
        <v>560</v>
      </c>
      <c r="I22" s="50" t="s">
        <v>16</v>
      </c>
      <c r="J22" s="51">
        <f>F22</f>
        <v>730</v>
      </c>
      <c r="K22" s="50">
        <v>2</v>
      </c>
      <c r="L22" s="59" t="str">
        <f>IF(F22&gt;E22,"1 L","1 S")</f>
        <v>1 L</v>
      </c>
    </row>
    <row r="23" spans="2:16" x14ac:dyDescent="0.35">
      <c r="C23" s="15" t="s">
        <v>2</v>
      </c>
      <c r="D23" s="63">
        <f>_xlfn.IFS(AND(OR(C27="y",D27="y"),OR(C27="y",E27="y"),OR(D27="y",E27="y"),OR(C27="y",D27="y",E27="y")),ISERROR(1/0),C27="y",(D20-(2*G20)),D27="y",(D20-(4*G20)),E27="y",(D20-(3*G20)))</f>
        <v>968</v>
      </c>
      <c r="E23" s="7">
        <f>E20</f>
        <v>560</v>
      </c>
      <c r="F23" s="67"/>
      <c r="G23" s="15" t="s">
        <v>2</v>
      </c>
      <c r="H23" s="52">
        <f>D23</f>
        <v>968</v>
      </c>
      <c r="I23" s="53" t="s">
        <v>16</v>
      </c>
      <c r="J23" s="54">
        <f>E23</f>
        <v>560</v>
      </c>
      <c r="K23" s="53">
        <v>1</v>
      </c>
      <c r="L23" s="60" t="str">
        <f>IF(D23&gt;E23,"1 L","1 S")</f>
        <v>1 L</v>
      </c>
    </row>
    <row r="24" spans="2:16" ht="15" thickBot="1" x14ac:dyDescent="0.4">
      <c r="C24" s="17" t="s">
        <v>3</v>
      </c>
      <c r="D24" s="64">
        <f>D23</f>
        <v>968</v>
      </c>
      <c r="E24" s="19">
        <v>70</v>
      </c>
      <c r="F24" s="68"/>
      <c r="G24" s="17" t="s">
        <v>3</v>
      </c>
      <c r="H24" s="55">
        <f>D24</f>
        <v>968</v>
      </c>
      <c r="I24" s="56" t="s">
        <v>16</v>
      </c>
      <c r="J24" s="57">
        <f>E24</f>
        <v>70</v>
      </c>
      <c r="K24" s="56">
        <v>4</v>
      </c>
      <c r="L24" s="61" t="s">
        <v>67</v>
      </c>
    </row>
    <row r="25" spans="2:16" ht="15" thickBot="1" x14ac:dyDescent="0.4">
      <c r="C25" s="5"/>
      <c r="D25" s="16"/>
      <c r="E25" s="16"/>
      <c r="F25" s="41"/>
      <c r="G25" s="16"/>
      <c r="H25" s="16"/>
      <c r="I25" s="10"/>
      <c r="J25" s="16"/>
      <c r="K25" s="10"/>
    </row>
    <row r="26" spans="2:16" x14ac:dyDescent="0.35">
      <c r="B26" s="43" t="s">
        <v>39</v>
      </c>
      <c r="C26" s="46" t="s">
        <v>41</v>
      </c>
      <c r="D26" s="14" t="s">
        <v>40</v>
      </c>
      <c r="E26" s="9" t="s">
        <v>42</v>
      </c>
      <c r="F26" s="41"/>
      <c r="G26" s="16"/>
      <c r="H26" s="16"/>
      <c r="I26" s="10"/>
      <c r="J26" s="16"/>
      <c r="K26" s="10"/>
    </row>
    <row r="27" spans="2:16" x14ac:dyDescent="0.35">
      <c r="B27" s="42"/>
      <c r="C27" s="47" t="s">
        <v>38</v>
      </c>
      <c r="D27" s="48"/>
      <c r="E27" s="48"/>
      <c r="F27" s="41"/>
      <c r="G27" s="16"/>
      <c r="H27" s="16"/>
      <c r="I27" s="10"/>
      <c r="J27" s="16"/>
      <c r="K27" s="10"/>
    </row>
    <row r="28" spans="2:16" ht="15" thickBot="1" x14ac:dyDescent="0.4">
      <c r="C28" s="45"/>
      <c r="E28" s="41"/>
      <c r="F28" s="41"/>
      <c r="G28" s="16"/>
      <c r="H28" s="1" t="s">
        <v>29</v>
      </c>
      <c r="I28" s="10"/>
      <c r="J28" s="10" t="s">
        <v>30</v>
      </c>
      <c r="K28" s="10"/>
    </row>
    <row r="29" spans="2:16" x14ac:dyDescent="0.35">
      <c r="C29" s="3" t="s">
        <v>5</v>
      </c>
      <c r="D29" s="65">
        <f>D20-4</f>
        <v>996</v>
      </c>
      <c r="E29" s="69"/>
      <c r="F29" s="65">
        <f>F20-4</f>
        <v>726</v>
      </c>
      <c r="G29" s="3" t="s">
        <v>5</v>
      </c>
      <c r="H29" s="74">
        <f>_xlfn.IFS(K29="1",D29,K29="2",(D20-6)/2)</f>
        <v>497</v>
      </c>
      <c r="I29" s="75" t="s">
        <v>16</v>
      </c>
      <c r="J29" s="76">
        <f>F29</f>
        <v>726</v>
      </c>
      <c r="K29" s="75" t="str">
        <f>IF(D20&gt;600,"2","1")</f>
        <v>2</v>
      </c>
      <c r="L29" s="59" t="s">
        <v>68</v>
      </c>
      <c r="P29" s="94"/>
    </row>
    <row r="30" spans="2:16" x14ac:dyDescent="0.35">
      <c r="C30" s="3" t="s">
        <v>4</v>
      </c>
      <c r="D30" s="69"/>
      <c r="E30" s="2">
        <f>E20+20</f>
        <v>580</v>
      </c>
      <c r="F30" s="65">
        <f>F20</f>
        <v>730</v>
      </c>
      <c r="G30" s="3" t="s">
        <v>4</v>
      </c>
      <c r="H30" s="77">
        <f>E30</f>
        <v>580</v>
      </c>
      <c r="I30" s="73" t="s">
        <v>16</v>
      </c>
      <c r="J30" s="72">
        <f>F30</f>
        <v>730</v>
      </c>
      <c r="K30" s="73"/>
      <c r="L30" s="78" t="str">
        <f>IF(F30&gt;E30,"1 L","1 S")</f>
        <v>1 L</v>
      </c>
    </row>
    <row r="31" spans="2:16" x14ac:dyDescent="0.35">
      <c r="C31" s="3" t="s">
        <v>6</v>
      </c>
      <c r="D31" s="65">
        <f>D23</f>
        <v>968</v>
      </c>
      <c r="E31" s="2">
        <f>E20-16</f>
        <v>544</v>
      </c>
      <c r="F31" s="69"/>
      <c r="G31" s="3" t="s">
        <v>6</v>
      </c>
      <c r="H31" s="52">
        <f>D23</f>
        <v>968</v>
      </c>
      <c r="I31" s="53" t="s">
        <v>16</v>
      </c>
      <c r="J31" s="54">
        <f>E31</f>
        <v>544</v>
      </c>
      <c r="K31" s="53">
        <v>1</v>
      </c>
      <c r="L31" s="60" t="str">
        <f>IF(D31&gt;E31,"1 L", "1 S")</f>
        <v>1 L</v>
      </c>
    </row>
    <row r="32" spans="2:16" x14ac:dyDescent="0.35">
      <c r="C32" s="3" t="s">
        <v>7</v>
      </c>
      <c r="D32" s="2">
        <f>D20</f>
        <v>1000</v>
      </c>
      <c r="E32" s="69"/>
      <c r="F32" s="2">
        <f>F20</f>
        <v>730</v>
      </c>
      <c r="G32" s="3" t="s">
        <v>7</v>
      </c>
      <c r="H32" s="79">
        <f>D32</f>
        <v>1000</v>
      </c>
      <c r="I32" s="80" t="s">
        <v>16</v>
      </c>
      <c r="J32" s="81">
        <f>F32</f>
        <v>730</v>
      </c>
      <c r="K32" s="80">
        <v>1</v>
      </c>
      <c r="L32" s="60"/>
    </row>
    <row r="33" spans="2:13" ht="15" thickBot="1" x14ac:dyDescent="0.4">
      <c r="C33" s="3" t="s">
        <v>8</v>
      </c>
      <c r="D33" s="2">
        <f>D23</f>
        <v>968</v>
      </c>
      <c r="E33" s="69"/>
      <c r="F33" s="65">
        <f>F20-G20</f>
        <v>714</v>
      </c>
      <c r="G33" s="3" t="s">
        <v>8</v>
      </c>
      <c r="H33" s="55">
        <f>D33</f>
        <v>968</v>
      </c>
      <c r="I33" s="56" t="s">
        <v>16</v>
      </c>
      <c r="J33" s="57">
        <f>F33</f>
        <v>714</v>
      </c>
      <c r="K33" s="56">
        <v>1</v>
      </c>
      <c r="L33" s="61" t="str">
        <f>IF(F33&gt;D33,"1 L","1 S")</f>
        <v>1 S</v>
      </c>
    </row>
    <row r="34" spans="2:13" x14ac:dyDescent="0.35">
      <c r="C34" s="5"/>
    </row>
    <row r="35" spans="2:13" x14ac:dyDescent="0.35">
      <c r="C35" s="3" t="s">
        <v>14</v>
      </c>
      <c r="D35">
        <f>D20</f>
        <v>1000</v>
      </c>
      <c r="E35">
        <f>E20+40</f>
        <v>600</v>
      </c>
      <c r="I35" s="1" t="s">
        <v>16</v>
      </c>
    </row>
    <row r="36" spans="2:13" x14ac:dyDescent="0.35">
      <c r="C36" s="20"/>
      <c r="I36" s="1"/>
    </row>
    <row r="37" spans="2:13" ht="15" thickBot="1" x14ac:dyDescent="0.4">
      <c r="C37" s="20"/>
      <c r="I37" s="1"/>
    </row>
    <row r="38" spans="2:13" ht="16" thickBot="1" x14ac:dyDescent="0.4">
      <c r="B38" s="40" t="s">
        <v>17</v>
      </c>
      <c r="C38" s="25"/>
      <c r="D38" s="26" t="s">
        <v>9</v>
      </c>
      <c r="E38" s="26" t="s">
        <v>10</v>
      </c>
      <c r="F38" s="26" t="s">
        <v>11</v>
      </c>
      <c r="G38" s="26"/>
      <c r="H38" s="97" t="s">
        <v>15</v>
      </c>
      <c r="I38" s="97"/>
      <c r="J38" s="97"/>
      <c r="K38" s="27" t="s">
        <v>12</v>
      </c>
      <c r="L38" s="71"/>
      <c r="M38" s="44"/>
    </row>
    <row r="39" spans="2:13" ht="15.5" x14ac:dyDescent="0.35">
      <c r="C39" s="24" t="s">
        <v>13</v>
      </c>
      <c r="D39" s="8">
        <v>650</v>
      </c>
      <c r="E39" s="8">
        <v>300</v>
      </c>
      <c r="F39" s="8">
        <f>D9</f>
        <v>1370</v>
      </c>
    </row>
    <row r="40" spans="2:13" ht="16" thickBot="1" x14ac:dyDescent="0.4">
      <c r="B40" s="43" t="s">
        <v>34</v>
      </c>
      <c r="C40" s="5"/>
      <c r="D40" s="4"/>
      <c r="E40" s="4"/>
      <c r="F40" s="4"/>
      <c r="H40" s="1" t="s">
        <v>29</v>
      </c>
      <c r="J40" s="1" t="s">
        <v>30</v>
      </c>
    </row>
    <row r="41" spans="2:13" x14ac:dyDescent="0.35">
      <c r="C41" s="11" t="s">
        <v>1</v>
      </c>
      <c r="D41" s="12"/>
      <c r="E41" s="13">
        <f>E39</f>
        <v>300</v>
      </c>
      <c r="F41" s="21">
        <f>F39</f>
        <v>1370</v>
      </c>
      <c r="G41" s="16"/>
      <c r="H41" s="30">
        <f>E41</f>
        <v>300</v>
      </c>
      <c r="I41" s="31" t="s">
        <v>16</v>
      </c>
      <c r="J41" s="38">
        <f>F41</f>
        <v>1370</v>
      </c>
      <c r="K41" s="59">
        <v>2</v>
      </c>
    </row>
    <row r="42" spans="2:13" x14ac:dyDescent="0.35">
      <c r="C42" s="15" t="s">
        <v>35</v>
      </c>
      <c r="D42" s="6">
        <f>D39-32</f>
        <v>618</v>
      </c>
      <c r="E42" s="7">
        <f>E39</f>
        <v>300</v>
      </c>
      <c r="F42" s="22"/>
      <c r="G42" s="16"/>
      <c r="H42" s="33">
        <f>D42</f>
        <v>618</v>
      </c>
      <c r="I42" s="29" t="s">
        <v>16</v>
      </c>
      <c r="J42" s="2">
        <f>E42</f>
        <v>300</v>
      </c>
      <c r="K42" s="60">
        <v>2</v>
      </c>
    </row>
    <row r="43" spans="2:13" ht="15" thickBot="1" x14ac:dyDescent="0.4">
      <c r="C43" s="17" t="s">
        <v>3</v>
      </c>
      <c r="D43" s="18">
        <f>D39-32</f>
        <v>618</v>
      </c>
      <c r="E43" s="19">
        <v>70</v>
      </c>
      <c r="F43" s="23"/>
      <c r="G43" s="16"/>
      <c r="H43" s="35">
        <f>D43</f>
        <v>618</v>
      </c>
      <c r="I43" s="36" t="s">
        <v>16</v>
      </c>
      <c r="J43" s="39">
        <f>E43</f>
        <v>70</v>
      </c>
      <c r="K43" s="61">
        <v>2</v>
      </c>
    </row>
    <row r="44" spans="2:13" x14ac:dyDescent="0.35">
      <c r="E44" s="16"/>
      <c r="F44" s="41"/>
      <c r="G44" s="16"/>
      <c r="H44" s="16"/>
      <c r="I44" s="10"/>
      <c r="J44" s="16"/>
      <c r="K44" s="10"/>
    </row>
    <row r="45" spans="2:13" ht="15" thickBot="1" x14ac:dyDescent="0.4">
      <c r="E45" s="41"/>
      <c r="F45" s="41"/>
      <c r="G45" s="16"/>
      <c r="H45" s="1" t="s">
        <v>29</v>
      </c>
      <c r="I45" s="10"/>
      <c r="J45" s="10" t="s">
        <v>30</v>
      </c>
      <c r="K45" s="10"/>
    </row>
    <row r="46" spans="2:13" x14ac:dyDescent="0.35">
      <c r="C46" s="3" t="s">
        <v>5</v>
      </c>
      <c r="D46" s="2">
        <f>D39-4</f>
        <v>646</v>
      </c>
      <c r="E46" s="28"/>
      <c r="F46" s="2">
        <f>F39-4</f>
        <v>1366</v>
      </c>
      <c r="H46" s="30">
        <f>_xlfn.IFS(K46="1",D46,K46="2",D46/2)</f>
        <v>323</v>
      </c>
      <c r="I46" s="31" t="s">
        <v>16</v>
      </c>
      <c r="J46" s="32">
        <f>F46</f>
        <v>1366</v>
      </c>
      <c r="K46" s="1" t="str">
        <f>IF(D39&gt;600,"2","1")</f>
        <v>2</v>
      </c>
    </row>
    <row r="47" spans="2:13" x14ac:dyDescent="0.35">
      <c r="C47" s="3" t="s">
        <v>4</v>
      </c>
      <c r="D47" s="28"/>
      <c r="E47" s="2">
        <f>E39+16</f>
        <v>316</v>
      </c>
      <c r="F47" s="2">
        <f>E39</f>
        <v>300</v>
      </c>
      <c r="H47" s="33">
        <f>E47</f>
        <v>316</v>
      </c>
      <c r="I47" s="29" t="s">
        <v>16</v>
      </c>
      <c r="J47" s="34">
        <f>F47</f>
        <v>300</v>
      </c>
    </row>
    <row r="48" spans="2:13" x14ac:dyDescent="0.35">
      <c r="C48" s="3" t="s">
        <v>6</v>
      </c>
      <c r="D48" s="2">
        <f>D39-32</f>
        <v>618</v>
      </c>
      <c r="E48" s="2">
        <f>E39-16</f>
        <v>284</v>
      </c>
      <c r="F48" s="28"/>
      <c r="H48" s="33">
        <f>D48</f>
        <v>618</v>
      </c>
      <c r="I48" s="29" t="s">
        <v>16</v>
      </c>
      <c r="J48" s="34">
        <f>E48</f>
        <v>284</v>
      </c>
      <c r="K48" s="1">
        <v>1</v>
      </c>
    </row>
    <row r="49" spans="3:11" x14ac:dyDescent="0.35">
      <c r="C49" s="3" t="s">
        <v>7</v>
      </c>
      <c r="D49" s="2">
        <f>D39</f>
        <v>650</v>
      </c>
      <c r="E49" s="28"/>
      <c r="F49" s="2">
        <f>F39</f>
        <v>1370</v>
      </c>
      <c r="H49" s="33">
        <f>D49</f>
        <v>650</v>
      </c>
      <c r="I49" s="29" t="s">
        <v>16</v>
      </c>
      <c r="J49" s="34">
        <f>F49</f>
        <v>1370</v>
      </c>
      <c r="K49" s="1">
        <v>1</v>
      </c>
    </row>
    <row r="50" spans="3:11" ht="15" thickBot="1" x14ac:dyDescent="0.4">
      <c r="C50" s="3" t="s">
        <v>8</v>
      </c>
      <c r="D50" s="2">
        <f>D39-32</f>
        <v>618</v>
      </c>
      <c r="E50" s="28"/>
      <c r="F50" s="2">
        <f>F39-16</f>
        <v>1354</v>
      </c>
      <c r="H50" s="35">
        <f>D50</f>
        <v>618</v>
      </c>
      <c r="I50" s="36" t="s">
        <v>16</v>
      </c>
      <c r="J50" s="37">
        <f>F50</f>
        <v>1354</v>
      </c>
      <c r="K50" s="1">
        <v>1</v>
      </c>
    </row>
    <row r="51" spans="3:11" x14ac:dyDescent="0.35">
      <c r="C51" s="5"/>
    </row>
    <row r="52" spans="3:11" x14ac:dyDescent="0.35">
      <c r="C52" s="3"/>
      <c r="I52" s="1"/>
    </row>
  </sheetData>
  <mergeCells count="3">
    <mergeCell ref="H19:J19"/>
    <mergeCell ref="H38:J38"/>
    <mergeCell ref="B18:L1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5:L19"/>
  <sheetViews>
    <sheetView workbookViewId="0">
      <selection activeCell="C10" sqref="C10"/>
    </sheetView>
  </sheetViews>
  <sheetFormatPr defaultRowHeight="14.5" x14ac:dyDescent="0.35"/>
  <cols>
    <col min="2" max="2" width="16.7265625" bestFit="1" customWidth="1"/>
    <col min="3" max="3" width="11.7265625" bestFit="1" customWidth="1"/>
    <col min="4" max="4" width="9.26953125" customWidth="1"/>
    <col min="5" max="5" width="4" customWidth="1"/>
    <col min="7" max="7" width="13.81640625" bestFit="1" customWidth="1"/>
  </cols>
  <sheetData>
    <row r="5" spans="1:12" ht="15" thickBot="1" x14ac:dyDescent="0.4"/>
    <row r="6" spans="1:12" ht="15" thickBot="1" x14ac:dyDescent="0.4">
      <c r="B6" t="s">
        <v>110</v>
      </c>
      <c r="F6" s="96"/>
    </row>
    <row r="7" spans="1:12" x14ac:dyDescent="0.35">
      <c r="A7" s="90"/>
      <c r="B7" t="s">
        <v>111</v>
      </c>
      <c r="E7" s="90"/>
      <c r="F7" s="90"/>
      <c r="G7" s="90"/>
      <c r="H7" s="90"/>
    </row>
    <row r="8" spans="1:12" x14ac:dyDescent="0.35">
      <c r="A8" s="90"/>
      <c r="B8" t="s">
        <v>112</v>
      </c>
      <c r="C8" s="92"/>
      <c r="D8" s="90"/>
      <c r="E8" s="90"/>
      <c r="F8" s="90"/>
      <c r="G8" s="90"/>
      <c r="H8" s="90"/>
    </row>
    <row r="9" spans="1:12" x14ac:dyDescent="0.35">
      <c r="A9" s="90"/>
      <c r="B9" s="90"/>
      <c r="C9" s="90"/>
      <c r="D9" s="90"/>
      <c r="E9" s="90"/>
      <c r="F9" s="90"/>
      <c r="G9" s="90"/>
      <c r="H9" s="90"/>
      <c r="L9" t="s">
        <v>116</v>
      </c>
    </row>
    <row r="10" spans="1:12" x14ac:dyDescent="0.35">
      <c r="A10" s="90"/>
      <c r="B10" s="42" t="s">
        <v>37</v>
      </c>
      <c r="C10" s="95" t="s">
        <v>116</v>
      </c>
      <c r="D10" s="90"/>
      <c r="E10" s="90"/>
      <c r="F10" s="90"/>
      <c r="G10" s="90"/>
      <c r="H10" s="90"/>
    </row>
    <row r="11" spans="1:12" ht="15" thickBot="1" x14ac:dyDescent="0.4">
      <c r="A11" s="90"/>
      <c r="B11" s="90"/>
      <c r="C11" s="90"/>
      <c r="D11" s="90"/>
      <c r="E11" s="90"/>
      <c r="F11" s="90"/>
      <c r="G11" s="90"/>
      <c r="H11" s="90"/>
    </row>
    <row r="12" spans="1:12" ht="16" thickBot="1" x14ac:dyDescent="0.4">
      <c r="A12" s="41"/>
      <c r="B12" s="93" t="s">
        <v>114</v>
      </c>
      <c r="C12" s="26" t="s">
        <v>113</v>
      </c>
      <c r="D12" s="97" t="s">
        <v>15</v>
      </c>
      <c r="E12" s="97"/>
      <c r="F12" s="97"/>
      <c r="G12" s="89" t="s">
        <v>12</v>
      </c>
      <c r="H12" s="70" t="s">
        <v>43</v>
      </c>
    </row>
    <row r="13" spans="1:12" x14ac:dyDescent="0.35">
      <c r="A13" s="41"/>
      <c r="B13" s="45" t="s">
        <v>115</v>
      </c>
      <c r="C13" s="41" t="s">
        <v>1</v>
      </c>
      <c r="D13" s="91">
        <v>560</v>
      </c>
      <c r="E13" s="41" t="s">
        <v>16</v>
      </c>
      <c r="F13" s="91">
        <v>730</v>
      </c>
      <c r="G13" s="91">
        <v>2</v>
      </c>
      <c r="H13" s="41" t="s">
        <v>67</v>
      </c>
    </row>
    <row r="14" spans="1:12" x14ac:dyDescent="0.35">
      <c r="A14" s="41"/>
      <c r="B14" s="45"/>
      <c r="C14" s="41" t="s">
        <v>2</v>
      </c>
      <c r="D14" s="91">
        <v>968</v>
      </c>
      <c r="E14" s="41" t="s">
        <v>16</v>
      </c>
      <c r="F14" s="91">
        <v>560</v>
      </c>
      <c r="G14" s="91">
        <v>1</v>
      </c>
      <c r="H14" s="41" t="s">
        <v>67</v>
      </c>
    </row>
    <row r="15" spans="1:12" x14ac:dyDescent="0.35">
      <c r="A15" s="41"/>
      <c r="B15" s="45"/>
      <c r="C15" s="41" t="s">
        <v>3</v>
      </c>
      <c r="D15" s="91">
        <v>968</v>
      </c>
      <c r="E15" s="41" t="s">
        <v>16</v>
      </c>
      <c r="F15" s="91">
        <v>70</v>
      </c>
      <c r="G15" s="91">
        <v>4</v>
      </c>
      <c r="H15" s="41" t="s">
        <v>67</v>
      </c>
    </row>
    <row r="16" spans="1:12" x14ac:dyDescent="0.35">
      <c r="A16" s="90"/>
      <c r="B16" s="90"/>
      <c r="C16" s="90"/>
      <c r="D16" s="90"/>
      <c r="E16" s="90"/>
      <c r="F16" s="90"/>
      <c r="G16" s="90"/>
      <c r="H16" s="90"/>
    </row>
    <row r="17" spans="1:8" x14ac:dyDescent="0.35">
      <c r="A17" s="90"/>
      <c r="B17" s="90"/>
      <c r="C17" s="90"/>
      <c r="D17" s="90"/>
      <c r="E17" s="90"/>
      <c r="F17" s="90"/>
      <c r="G17" s="90"/>
      <c r="H17" s="90"/>
    </row>
    <row r="18" spans="1:8" x14ac:dyDescent="0.35">
      <c r="A18" s="90"/>
      <c r="B18" s="90"/>
      <c r="C18" s="90"/>
      <c r="D18" s="90"/>
      <c r="E18" s="90"/>
      <c r="F18" s="90"/>
      <c r="G18" s="90"/>
      <c r="H18" s="90"/>
    </row>
    <row r="19" spans="1:8" x14ac:dyDescent="0.35">
      <c r="A19" s="90"/>
      <c r="B19" s="90"/>
      <c r="C19" s="90"/>
      <c r="D19" s="90"/>
      <c r="E19" s="90"/>
      <c r="F19" s="90"/>
      <c r="G19" s="90"/>
      <c r="H19" s="90"/>
    </row>
  </sheetData>
  <mergeCells count="1">
    <mergeCell ref="D12:F12"/>
  </mergeCells>
  <dataValidations count="1">
    <dataValidation type="list" allowBlank="1" showInputMessage="1" showErrorMessage="1" sqref="L9 C10">
      <formula1>"White,Melamine,Color,Melaply 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1</xdr:col>
                    <xdr:colOff>1143000</xdr:colOff>
                    <xdr:row>7</xdr:row>
                    <xdr:rowOff>165100</xdr:rowOff>
                  </from>
                  <to>
                    <xdr:col>3</xdr:col>
                    <xdr:colOff>69850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2</xdr:col>
                    <xdr:colOff>781050</xdr:colOff>
                    <xdr:row>7</xdr:row>
                    <xdr:rowOff>165100</xdr:rowOff>
                  </from>
                  <to>
                    <xdr:col>4</xdr:col>
                    <xdr:colOff>228600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4</xdr:col>
                    <xdr:colOff>114300</xdr:colOff>
                    <xdr:row>7</xdr:row>
                    <xdr:rowOff>165100</xdr:rowOff>
                  </from>
                  <to>
                    <xdr:col>6</xdr:col>
                    <xdr:colOff>139700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6</xdr:col>
                    <xdr:colOff>31750</xdr:colOff>
                    <xdr:row>7</xdr:row>
                    <xdr:rowOff>165100</xdr:rowOff>
                  </from>
                  <to>
                    <xdr:col>6</xdr:col>
                    <xdr:colOff>946150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74"/>
  <sheetViews>
    <sheetView tabSelected="1" topLeftCell="A5" workbookViewId="0">
      <selection activeCell="C18" sqref="C18"/>
    </sheetView>
  </sheetViews>
  <sheetFormatPr defaultRowHeight="14.5" x14ac:dyDescent="0.35"/>
  <cols>
    <col min="2" max="2" width="20.08984375" bestFit="1" customWidth="1"/>
    <col min="3" max="3" width="11.90625" customWidth="1"/>
    <col min="4" max="4" width="15.36328125" bestFit="1" customWidth="1"/>
    <col min="5" max="5" width="8.26953125" customWidth="1"/>
    <col min="6" max="6" width="9.453125" customWidth="1"/>
    <col min="7" max="7" width="18.90625" bestFit="1" customWidth="1"/>
    <col min="8" max="9" width="14.90625" bestFit="1" customWidth="1"/>
    <col min="10" max="10" width="13.08984375" bestFit="1" customWidth="1"/>
    <col min="11" max="11" width="13.7265625" bestFit="1" customWidth="1"/>
    <col min="12" max="12" width="9.54296875" customWidth="1"/>
    <col min="13" max="13" width="11.90625" customWidth="1"/>
  </cols>
  <sheetData>
    <row r="2" spans="2:8" x14ac:dyDescent="0.35">
      <c r="B2" t="s">
        <v>73</v>
      </c>
      <c r="C2">
        <v>2700</v>
      </c>
      <c r="D2" s="1" t="s">
        <v>74</v>
      </c>
      <c r="E2">
        <v>1800</v>
      </c>
    </row>
    <row r="3" spans="2:8" x14ac:dyDescent="0.35">
      <c r="B3" t="s">
        <v>75</v>
      </c>
      <c r="C3">
        <f>(C2*E2)/1000000</f>
        <v>4.8600000000000003</v>
      </c>
    </row>
    <row r="4" spans="2:8" x14ac:dyDescent="0.35">
      <c r="B4" t="s">
        <v>20</v>
      </c>
      <c r="C4">
        <v>2500</v>
      </c>
    </row>
    <row r="7" spans="2:8" x14ac:dyDescent="0.35">
      <c r="B7" t="s">
        <v>45</v>
      </c>
    </row>
    <row r="8" spans="2:8" x14ac:dyDescent="0.35">
      <c r="C8" t="s">
        <v>46</v>
      </c>
      <c r="D8" t="s">
        <v>69</v>
      </c>
      <c r="E8" t="s">
        <v>70</v>
      </c>
      <c r="F8" t="s">
        <v>11</v>
      </c>
      <c r="G8" t="s">
        <v>71</v>
      </c>
      <c r="H8" t="s">
        <v>72</v>
      </c>
    </row>
    <row r="9" spans="2:8" x14ac:dyDescent="0.35">
      <c r="B9" t="s">
        <v>2</v>
      </c>
      <c r="C9">
        <v>0</v>
      </c>
      <c r="E9">
        <v>0.6</v>
      </c>
      <c r="F9">
        <v>0.75</v>
      </c>
      <c r="G9">
        <f>(2*(C9*E9))+(D9*(2*(E9*F9)))</f>
        <v>0</v>
      </c>
      <c r="H9" s="82">
        <f>G9/C3</f>
        <v>0</v>
      </c>
    </row>
    <row r="10" spans="2:8" x14ac:dyDescent="0.35">
      <c r="B10" t="s">
        <v>78</v>
      </c>
      <c r="C10">
        <v>0</v>
      </c>
      <c r="E10">
        <v>0.3</v>
      </c>
      <c r="F10">
        <v>0.9</v>
      </c>
      <c r="G10">
        <f>(3*(C10*E10))+(D10*(2*(E10*F10)))</f>
        <v>0</v>
      </c>
      <c r="H10" s="82">
        <f>G10/C3</f>
        <v>0</v>
      </c>
    </row>
    <row r="11" spans="2:8" x14ac:dyDescent="0.35">
      <c r="B11" t="s">
        <v>47</v>
      </c>
      <c r="C11">
        <v>9.1999999999999993</v>
      </c>
      <c r="D11">
        <v>7</v>
      </c>
      <c r="E11">
        <v>0.6</v>
      </c>
      <c r="F11">
        <v>2.6</v>
      </c>
      <c r="G11">
        <f>(5*(C11*E11))+(D11*(2*(E11*F11)))</f>
        <v>49.44</v>
      </c>
      <c r="H11" s="82">
        <f>G11/C3</f>
        <v>10.172839506172838</v>
      </c>
    </row>
    <row r="12" spans="2:8" x14ac:dyDescent="0.35">
      <c r="E12" s="99"/>
      <c r="F12" s="99"/>
      <c r="G12" s="86" t="s">
        <v>84</v>
      </c>
      <c r="H12" s="87">
        <f>SUM(H9:H11)</f>
        <v>10.172839506172838</v>
      </c>
    </row>
    <row r="14" spans="2:8" ht="29" x14ac:dyDescent="0.35">
      <c r="B14" s="84" t="s">
        <v>36</v>
      </c>
      <c r="C14" s="83" t="s">
        <v>76</v>
      </c>
      <c r="D14" s="85" t="s">
        <v>79</v>
      </c>
      <c r="E14" s="100" t="s">
        <v>77</v>
      </c>
      <c r="F14" s="100"/>
    </row>
    <row r="15" spans="2:8" x14ac:dyDescent="0.35">
      <c r="B15" t="s">
        <v>48</v>
      </c>
      <c r="C15">
        <v>11</v>
      </c>
      <c r="D15">
        <v>800</v>
      </c>
      <c r="E15">
        <f>C15*D15</f>
        <v>8800</v>
      </c>
    </row>
    <row r="16" spans="2:8" x14ac:dyDescent="0.35">
      <c r="B16" t="s">
        <v>80</v>
      </c>
      <c r="D16">
        <v>1100</v>
      </c>
      <c r="E16">
        <f>C16*D16</f>
        <v>0</v>
      </c>
    </row>
    <row r="17" spans="2:6" x14ac:dyDescent="0.35">
      <c r="B17" t="s">
        <v>81</v>
      </c>
      <c r="C17">
        <v>7</v>
      </c>
      <c r="D17">
        <v>2700</v>
      </c>
      <c r="E17">
        <f t="shared" ref="E17:E23" si="0">C17*D17</f>
        <v>18900</v>
      </c>
    </row>
    <row r="18" spans="2:6" x14ac:dyDescent="0.35">
      <c r="B18" t="s">
        <v>82</v>
      </c>
      <c r="D18">
        <v>4000</v>
      </c>
      <c r="E18">
        <f t="shared" si="0"/>
        <v>0</v>
      </c>
    </row>
    <row r="19" spans="2:6" x14ac:dyDescent="0.35">
      <c r="B19" t="s">
        <v>83</v>
      </c>
      <c r="D19">
        <v>1200</v>
      </c>
      <c r="E19">
        <f t="shared" si="0"/>
        <v>0</v>
      </c>
    </row>
    <row r="20" spans="2:6" x14ac:dyDescent="0.35">
      <c r="B20" t="s">
        <v>49</v>
      </c>
      <c r="D20">
        <v>650</v>
      </c>
      <c r="E20">
        <f t="shared" si="0"/>
        <v>0</v>
      </c>
    </row>
    <row r="21" spans="2:6" x14ac:dyDescent="0.35">
      <c r="B21" t="s">
        <v>50</v>
      </c>
      <c r="C21">
        <v>1</v>
      </c>
      <c r="D21">
        <v>950</v>
      </c>
      <c r="E21">
        <f t="shared" si="0"/>
        <v>950</v>
      </c>
    </row>
    <row r="22" spans="2:6" x14ac:dyDescent="0.35">
      <c r="B22" t="s">
        <v>7</v>
      </c>
      <c r="C22">
        <v>10</v>
      </c>
      <c r="D22">
        <v>250</v>
      </c>
      <c r="E22">
        <f t="shared" si="0"/>
        <v>2500</v>
      </c>
    </row>
    <row r="23" spans="2:6" x14ac:dyDescent="0.35">
      <c r="B23" t="s">
        <v>43</v>
      </c>
      <c r="C23">
        <f>(C9*6)+(F9*(2*D9))+(C10*5)+(F10*(2*D10))+((E10*2)*D10)+(7*C11)+((F11*2)*D11)</f>
        <v>100.79999999999998</v>
      </c>
      <c r="D23">
        <v>22</v>
      </c>
      <c r="E23">
        <f t="shared" si="0"/>
        <v>2217.5999999999995</v>
      </c>
    </row>
    <row r="24" spans="2:6" x14ac:dyDescent="0.35">
      <c r="D24" s="86" t="s">
        <v>85</v>
      </c>
      <c r="E24" s="86">
        <f>SUM(E15:E23)</f>
        <v>33367.599999999999</v>
      </c>
    </row>
    <row r="26" spans="2:6" x14ac:dyDescent="0.35">
      <c r="B26" t="s">
        <v>51</v>
      </c>
    </row>
    <row r="27" spans="2:6" x14ac:dyDescent="0.35">
      <c r="B27" t="s">
        <v>102</v>
      </c>
      <c r="D27">
        <v>1600</v>
      </c>
      <c r="F27" t="s">
        <v>107</v>
      </c>
    </row>
    <row r="28" spans="2:6" x14ac:dyDescent="0.35">
      <c r="B28" t="s">
        <v>103</v>
      </c>
      <c r="D28">
        <v>1150</v>
      </c>
      <c r="F28" t="s">
        <v>107</v>
      </c>
    </row>
    <row r="29" spans="2:6" x14ac:dyDescent="0.35">
      <c r="B29" t="s">
        <v>104</v>
      </c>
      <c r="C29">
        <v>0</v>
      </c>
      <c r="D29">
        <v>100</v>
      </c>
      <c r="F29" t="s">
        <v>108</v>
      </c>
    </row>
    <row r="30" spans="2:6" x14ac:dyDescent="0.35">
      <c r="B30" t="s">
        <v>105</v>
      </c>
    </row>
    <row r="31" spans="2:6" x14ac:dyDescent="0.35">
      <c r="B31" t="s">
        <v>3</v>
      </c>
    </row>
    <row r="32" spans="2:6" x14ac:dyDescent="0.35">
      <c r="B32" t="s">
        <v>101</v>
      </c>
      <c r="D32">
        <v>250</v>
      </c>
      <c r="F32" t="s">
        <v>109</v>
      </c>
    </row>
    <row r="33" spans="2:4" x14ac:dyDescent="0.35">
      <c r="B33" t="s">
        <v>100</v>
      </c>
    </row>
    <row r="34" spans="2:4" x14ac:dyDescent="0.35">
      <c r="B34" t="s">
        <v>106</v>
      </c>
    </row>
    <row r="36" spans="2:4" x14ac:dyDescent="0.35">
      <c r="B36" t="s">
        <v>95</v>
      </c>
    </row>
    <row r="37" spans="2:4" x14ac:dyDescent="0.35">
      <c r="B37" t="s">
        <v>96</v>
      </c>
      <c r="D37">
        <v>75</v>
      </c>
    </row>
    <row r="38" spans="2:4" x14ac:dyDescent="0.35">
      <c r="B38" t="s">
        <v>97</v>
      </c>
      <c r="D38">
        <v>35</v>
      </c>
    </row>
    <row r="39" spans="2:4" x14ac:dyDescent="0.35">
      <c r="B39" t="s">
        <v>98</v>
      </c>
      <c r="D39">
        <v>250</v>
      </c>
    </row>
    <row r="40" spans="2:4" x14ac:dyDescent="0.35">
      <c r="B40" t="s">
        <v>99</v>
      </c>
      <c r="D40">
        <v>165</v>
      </c>
    </row>
    <row r="57" spans="2:4" x14ac:dyDescent="0.35">
      <c r="B57" t="s">
        <v>52</v>
      </c>
    </row>
    <row r="58" spans="2:4" x14ac:dyDescent="0.35">
      <c r="B58" t="s">
        <v>53</v>
      </c>
    </row>
    <row r="59" spans="2:4" x14ac:dyDescent="0.35">
      <c r="B59" t="s">
        <v>54</v>
      </c>
    </row>
    <row r="63" spans="2:4" x14ac:dyDescent="0.35">
      <c r="B63" t="s">
        <v>14</v>
      </c>
    </row>
    <row r="64" spans="2:4" x14ac:dyDescent="0.35">
      <c r="B64" t="s">
        <v>55</v>
      </c>
      <c r="D64">
        <v>1850</v>
      </c>
    </row>
    <row r="65" spans="2:14" x14ac:dyDescent="0.35">
      <c r="B65" t="s">
        <v>56</v>
      </c>
      <c r="D65">
        <v>250</v>
      </c>
      <c r="K65" s="82"/>
      <c r="N65" s="88"/>
    </row>
    <row r="66" spans="2:14" x14ac:dyDescent="0.35">
      <c r="B66" t="s">
        <v>57</v>
      </c>
      <c r="D66">
        <v>1850</v>
      </c>
    </row>
    <row r="67" spans="2:14" x14ac:dyDescent="0.35">
      <c r="B67" t="s">
        <v>58</v>
      </c>
      <c r="D67">
        <v>1850</v>
      </c>
    </row>
    <row r="68" spans="2:14" x14ac:dyDescent="0.35">
      <c r="B68" t="s">
        <v>59</v>
      </c>
      <c r="D68">
        <v>1850</v>
      </c>
    </row>
    <row r="69" spans="2:14" x14ac:dyDescent="0.35">
      <c r="B69" t="s">
        <v>60</v>
      </c>
      <c r="D69">
        <v>500</v>
      </c>
    </row>
    <row r="70" spans="2:14" x14ac:dyDescent="0.35">
      <c r="B70" t="s">
        <v>86</v>
      </c>
      <c r="D70">
        <v>650</v>
      </c>
    </row>
    <row r="73" spans="2:14" x14ac:dyDescent="0.35">
      <c r="B73" t="s">
        <v>37</v>
      </c>
      <c r="C73" t="s">
        <v>87</v>
      </c>
      <c r="F73" t="s">
        <v>88</v>
      </c>
      <c r="G73" t="s">
        <v>90</v>
      </c>
      <c r="H73" t="s">
        <v>94</v>
      </c>
      <c r="I73" t="s">
        <v>91</v>
      </c>
      <c r="J73" t="s">
        <v>92</v>
      </c>
      <c r="K73" t="s">
        <v>93</v>
      </c>
    </row>
    <row r="74" spans="2:14" x14ac:dyDescent="0.35">
      <c r="B74" t="s">
        <v>89</v>
      </c>
      <c r="C74">
        <v>3220</v>
      </c>
      <c r="D74" s="1" t="s">
        <v>74</v>
      </c>
      <c r="E74">
        <v>1820</v>
      </c>
      <c r="F74" s="82">
        <f>(C74*E74)/1000000</f>
        <v>5.8604000000000003</v>
      </c>
      <c r="G74">
        <v>1150</v>
      </c>
      <c r="H74" s="88">
        <v>0.15</v>
      </c>
      <c r="I74" s="82">
        <f>(F74*G74)+((15*(F74*G74)/100))</f>
        <v>7750.3789999999999</v>
      </c>
      <c r="K74">
        <v>130</v>
      </c>
    </row>
  </sheetData>
  <mergeCells count="2">
    <mergeCell ref="E12:F12"/>
    <mergeCell ref="E14:F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7:C12"/>
  <sheetViews>
    <sheetView workbookViewId="0">
      <selection activeCell="C9" sqref="C9"/>
    </sheetView>
  </sheetViews>
  <sheetFormatPr defaultRowHeight="14.5" x14ac:dyDescent="0.35"/>
  <cols>
    <col min="2" max="2" width="20.81640625" bestFit="1" customWidth="1"/>
  </cols>
  <sheetData>
    <row r="7" spans="2:3" x14ac:dyDescent="0.35">
      <c r="B7" t="s">
        <v>61</v>
      </c>
    </row>
    <row r="8" spans="2:3" x14ac:dyDescent="0.35">
      <c r="B8" t="s">
        <v>62</v>
      </c>
      <c r="C8">
        <v>3</v>
      </c>
    </row>
    <row r="9" spans="2:3" x14ac:dyDescent="0.35">
      <c r="B9" t="s">
        <v>63</v>
      </c>
    </row>
    <row r="10" spans="2:3" x14ac:dyDescent="0.35">
      <c r="B10" t="s">
        <v>64</v>
      </c>
    </row>
    <row r="11" spans="2:3" x14ac:dyDescent="0.35">
      <c r="B11" t="s">
        <v>54</v>
      </c>
    </row>
    <row r="12" spans="2:3" x14ac:dyDescent="0.35">
      <c r="B12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CUTTING LIST</vt:lpstr>
      <vt:lpstr>Sheet1</vt:lpstr>
      <vt:lpstr>LIST</vt:lpstr>
      <vt:lpstr>QUOTATIONS</vt:lpstr>
      <vt:lpstr>LABOUR 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dcterms:created xsi:type="dcterms:W3CDTF">2024-12-22T18:58:53Z</dcterms:created>
  <dcterms:modified xsi:type="dcterms:W3CDTF">2025-01-30T18:43:35Z</dcterms:modified>
</cp:coreProperties>
</file>